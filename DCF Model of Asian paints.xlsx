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mc:AlternateContent xmlns:mc="http://schemas.openxmlformats.org/markup-compatibility/2006">
    <mc:Choice Requires="x15">
      <x15ac:absPath xmlns:x15ac="http://schemas.microsoft.com/office/spreadsheetml/2010/11/ac" url="C:\Users\ATHARVPATHARE\Downloads\"/>
    </mc:Choice>
  </mc:AlternateContent>
  <xr:revisionPtr revIDLastSave="0" documentId="8_{FD7AA2B4-F8B7-D74E-94FA-99DC737E3400}" xr6:coauthVersionLast="47" xr6:coauthVersionMax="47" xr10:uidLastSave="{00000000-0000-0000-0000-000000000000}"/>
  <bookViews>
    <workbookView xWindow="-110" yWindow="-110" windowWidth="19420" windowHeight="10300" tabRatio="608" activeTab="4" xr2:uid="{00000000-000D-0000-FFFF-FFFF00000000}"/>
  </bookViews>
  <sheets>
    <sheet name="Historical Financial Data" sheetId="2" r:id="rId1"/>
    <sheet name="Assumptions" sheetId="3" r:id="rId2"/>
    <sheet name="WACC" sheetId="7" r:id="rId3"/>
    <sheet name="forecast" sheetId="4" r:id="rId4"/>
    <sheet name="Sensitivity Analysis" sheetId="5" r:id="rId5"/>
    <sheet name="DCF valuation Summary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4" l="1"/>
  <c r="E15" i="4"/>
  <c r="F15" i="4"/>
  <c r="G15" i="4"/>
  <c r="C15" i="4"/>
  <c r="E16" i="4"/>
  <c r="F16" i="4"/>
  <c r="G16" i="4"/>
  <c r="C23" i="7"/>
  <c r="C21" i="7"/>
  <c r="C20" i="7"/>
  <c r="C19" i="7"/>
  <c r="C18" i="7"/>
  <c r="C14" i="7"/>
  <c r="C13" i="7"/>
  <c r="C12" i="7"/>
  <c r="C11" i="7"/>
  <c r="C10" i="7"/>
  <c r="C7" i="7"/>
  <c r="C7" i="6"/>
  <c r="C5" i="6"/>
  <c r="C4" i="6"/>
  <c r="C14" i="4"/>
  <c r="C8" i="2"/>
  <c r="C29" i="2"/>
  <c r="C30" i="2"/>
  <c r="C31" i="2"/>
  <c r="C32" i="2"/>
  <c r="C16" i="4"/>
  <c r="C13" i="4"/>
  <c r="E27" i="2"/>
  <c r="F27" i="2"/>
  <c r="G27" i="2"/>
  <c r="H27" i="2"/>
  <c r="D27" i="2"/>
  <c r="C25" i="4"/>
  <c r="C23" i="4"/>
  <c r="C22" i="4"/>
  <c r="D16" i="4"/>
  <c r="D6" i="4"/>
  <c r="E6" i="4"/>
  <c r="F6" i="4"/>
  <c r="G6" i="4"/>
  <c r="C6" i="4"/>
  <c r="D4" i="4"/>
  <c r="E4" i="4"/>
  <c r="F4" i="4"/>
  <c r="G4" i="4"/>
  <c r="C4" i="4"/>
  <c r="C3" i="4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H17" i="2"/>
  <c r="G17" i="2"/>
  <c r="F17" i="2"/>
  <c r="E17" i="2"/>
  <c r="D17" i="2"/>
  <c r="H8" i="2"/>
  <c r="G8" i="2"/>
  <c r="F8" i="2"/>
  <c r="E8" i="2"/>
  <c r="D8" i="2"/>
  <c r="D29" i="2"/>
  <c r="D3" i="4"/>
  <c r="D13" i="4"/>
  <c r="C12" i="4"/>
  <c r="C5" i="4"/>
  <c r="C7" i="4"/>
  <c r="C8" i="4"/>
  <c r="D5" i="4"/>
  <c r="D7" i="4"/>
  <c r="D12" i="4"/>
  <c r="E3" i="4"/>
  <c r="E13" i="4"/>
  <c r="D8" i="4"/>
  <c r="D10" i="4"/>
  <c r="D9" i="4"/>
  <c r="D11" i="4"/>
  <c r="D14" i="4"/>
  <c r="D17" i="4"/>
  <c r="C10" i="4"/>
  <c r="C9" i="4"/>
  <c r="C11" i="4"/>
  <c r="E7" i="4"/>
  <c r="E12" i="4"/>
  <c r="F3" i="4"/>
  <c r="F13" i="4"/>
  <c r="E5" i="4"/>
  <c r="E8" i="4"/>
  <c r="C17" i="4"/>
  <c r="E10" i="4"/>
  <c r="E11" i="4"/>
  <c r="E14" i="4"/>
  <c r="E17" i="4"/>
  <c r="E9" i="4"/>
  <c r="F12" i="4"/>
  <c r="G3" i="4"/>
  <c r="G13" i="4"/>
  <c r="F5" i="4"/>
  <c r="F7" i="4"/>
  <c r="F8" i="4"/>
  <c r="G7" i="4"/>
  <c r="G12" i="4"/>
  <c r="G5" i="4"/>
  <c r="F10" i="4"/>
  <c r="F9" i="4"/>
  <c r="F11" i="4"/>
  <c r="F14" i="4"/>
  <c r="G8" i="4"/>
  <c r="F17" i="4"/>
  <c r="G10" i="4"/>
  <c r="G11" i="4"/>
  <c r="G14" i="4"/>
  <c r="G9" i="4"/>
  <c r="G7" i="5"/>
  <c r="G19" i="4"/>
  <c r="G20" i="4"/>
  <c r="E8" i="5"/>
  <c r="D6" i="5"/>
  <c r="D8" i="5"/>
  <c r="F5" i="5"/>
  <c r="F7" i="5"/>
  <c r="C5" i="5"/>
  <c r="E4" i="5"/>
  <c r="C7" i="5"/>
  <c r="F8" i="5"/>
  <c r="E5" i="5"/>
  <c r="G4" i="5"/>
  <c r="D5" i="5"/>
  <c r="F4" i="5"/>
  <c r="C4" i="5"/>
  <c r="G5" i="5"/>
  <c r="D7" i="5"/>
  <c r="D4" i="5"/>
  <c r="G8" i="5"/>
  <c r="E7" i="5"/>
  <c r="F6" i="5"/>
  <c r="C8" i="5"/>
  <c r="C6" i="5"/>
  <c r="E6" i="5"/>
  <c r="G6" i="5"/>
  <c r="G17" i="4"/>
  <c r="C21" i="4"/>
  <c r="C3" i="6"/>
  <c r="C20" i="4"/>
  <c r="C24" i="4"/>
  <c r="C26" i="4"/>
  <c r="C8" i="6"/>
  <c r="C10" i="6"/>
  <c r="C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50374D2A-38F8-48A4-BD17-4435844EDDA4}">
      <text>
        <r>
          <rPr>
            <sz val="10"/>
            <rFont val="Arial"/>
            <family val="2"/>
          </rPr>
          <t>Reference column only — not part of the requested FY22-FY26 output. FY21 figures are the comparative-year figures disclosed in the FY2021-22 Consolidated Financial Statements (Integrated Annual Report FY2021-22). Included solely so that Revenue Growth % and Change in NWC for FY22 can be calculated with a live formula instead of being hardcoded.</t>
        </r>
      </text>
    </comment>
  </commentList>
</comments>
</file>

<file path=xl/sharedStrings.xml><?xml version="1.0" encoding="utf-8"?>
<sst xmlns="http://schemas.openxmlformats.org/spreadsheetml/2006/main" count="107" uniqueCount="98">
  <si>
    <t>Particulars</t>
  </si>
  <si>
    <t>FY21 (Ref.)</t>
  </si>
  <si>
    <t>FY22</t>
  </si>
  <si>
    <t>FY23</t>
  </si>
  <si>
    <t>FY24</t>
  </si>
  <si>
    <t>FY25</t>
  </si>
  <si>
    <t>FY26</t>
  </si>
  <si>
    <t>Income Statement</t>
  </si>
  <si>
    <t>Revenue from Operations</t>
  </si>
  <si>
    <t>EBITDA / Operating Profit</t>
  </si>
  <si>
    <t>Depreciation &amp; Amortisation</t>
  </si>
  <si>
    <t>EBIT</t>
  </si>
  <si>
    <t>Finance Cost</t>
  </si>
  <si>
    <t>Profit Before Tax (PBT)</t>
  </si>
  <si>
    <t>Tax Expense</t>
  </si>
  <si>
    <t>Profit After Tax (PAT)</t>
  </si>
  <si>
    <t>Cash Flow Items</t>
  </si>
  <si>
    <t>Cash Flow from Operations (CFO)</t>
  </si>
  <si>
    <t>Capital Expenditure (CapEx)</t>
  </si>
  <si>
    <t>Change in Net Working Capital</t>
  </si>
  <si>
    <t>Balance Sheet Items</t>
  </si>
  <si>
    <t>Net Fixed Assets / PP&amp;E</t>
  </si>
  <si>
    <t>Current Assets</t>
  </si>
  <si>
    <t>Current Liabilities</t>
  </si>
  <si>
    <t>Total Debt</t>
  </si>
  <si>
    <t>Cash &amp; Cash Equivalents</t>
  </si>
  <si>
    <t>Total Equity</t>
  </si>
  <si>
    <t>Shares Outstanding (Crore)</t>
  </si>
  <si>
    <t>Key Ratios (Calculated)</t>
  </si>
  <si>
    <t>EBIT Margin (%)</t>
  </si>
  <si>
    <t>EBITDA Margin (%)</t>
  </si>
  <si>
    <t>Tax Rate (%)</t>
  </si>
  <si>
    <t>CapEx % of Revenue</t>
  </si>
  <si>
    <t>Revenue Growth (%)</t>
  </si>
  <si>
    <t>Assumptions</t>
  </si>
  <si>
    <t>Revenue Growth</t>
  </si>
  <si>
    <t>EBITDA Margin</t>
  </si>
  <si>
    <t>EBIT MARGIN</t>
  </si>
  <si>
    <t>TAX RATE</t>
  </si>
  <si>
    <t>CAPEX % REVENUE</t>
  </si>
  <si>
    <t>D &amp; A % REVENUE</t>
  </si>
  <si>
    <t>FY27E</t>
  </si>
  <si>
    <t>FY28E</t>
  </si>
  <si>
    <t>FY29E</t>
  </si>
  <si>
    <t>FY30E</t>
  </si>
  <si>
    <t>FY31E</t>
  </si>
  <si>
    <t>REVENUE</t>
  </si>
  <si>
    <t>REVENUE GROWTH</t>
  </si>
  <si>
    <t>EBIDTA</t>
  </si>
  <si>
    <t>EBITDA MARGIN</t>
  </si>
  <si>
    <t xml:space="preserve">D&amp;A </t>
  </si>
  <si>
    <t>TAX</t>
  </si>
  <si>
    <t>NOPAT</t>
  </si>
  <si>
    <t>CAPEX</t>
  </si>
  <si>
    <t>CHANGE IN NWC</t>
  </si>
  <si>
    <t>FCFF</t>
  </si>
  <si>
    <t>WACC</t>
  </si>
  <si>
    <t>DISCOUNT FACTOR</t>
  </si>
  <si>
    <t>PV OF FCFF</t>
  </si>
  <si>
    <t>terminal growth rate</t>
  </si>
  <si>
    <t>terminal value</t>
  </si>
  <si>
    <t>pv of terminal value</t>
  </si>
  <si>
    <t>enterprise value</t>
  </si>
  <si>
    <t>less : debt</t>
  </si>
  <si>
    <t>Add: cash</t>
  </si>
  <si>
    <t>Equity value</t>
  </si>
  <si>
    <t>shares outstanding</t>
  </si>
  <si>
    <t>implied share price</t>
  </si>
  <si>
    <t>WACC/TERMINAL GROWTH</t>
  </si>
  <si>
    <t>DCF Valuation Summary,Value</t>
  </si>
  <si>
    <t>Enterprise Value,</t>
  </si>
  <si>
    <t>Less: Debt,</t>
  </si>
  <si>
    <t>Add: Cash,</t>
  </si>
  <si>
    <t>Equity Value,</t>
  </si>
  <si>
    <t>Shares Outstanding,</t>
  </si>
  <si>
    <t>Implied Share Price,</t>
  </si>
  <si>
    <t>Current market price</t>
  </si>
  <si>
    <t>Upside/downside %</t>
  </si>
  <si>
    <t>nwc</t>
  </si>
  <si>
    <t>% NET WORKING CAPITAL</t>
  </si>
  <si>
    <t>Remark</t>
  </si>
  <si>
    <t>Overvalued</t>
  </si>
  <si>
    <t xml:space="preserve">Cost of Equity </t>
  </si>
  <si>
    <t>Risk-Free Rate</t>
  </si>
  <si>
    <t>Stock Beta</t>
  </si>
  <si>
    <t>Equity Risk Premium</t>
  </si>
  <si>
    <t>Cost of Equity</t>
  </si>
  <si>
    <t>cost of debt</t>
  </si>
  <si>
    <t>total debt</t>
  </si>
  <si>
    <t>interest exp</t>
  </si>
  <si>
    <t>effective tax rate</t>
  </si>
  <si>
    <t>pre tax cost of capital</t>
  </si>
  <si>
    <t>Post-Tax Cost of Debt</t>
  </si>
  <si>
    <t>Capital Structure Weights</t>
  </si>
  <si>
    <t>Current Market Cap (Equity Value)</t>
  </si>
  <si>
    <t>Total Capitalization</t>
  </si>
  <si>
    <t>weight of equity</t>
  </si>
  <si>
    <t>weight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</si>
</sst>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#,##0.00;\(#,##0.00\);\-"/>
    <numFmt numFmtId="166" formatCode="0.0%;\(0.0%\);\-"/>
    <numFmt numFmtId="167" formatCode="_ * #,##0_ ;_ * \-#,##0_ ;_ * &quot;-&quot;??_ ;_ @_ "/>
    <numFmt numFmtId="168" formatCode="0.000%"/>
  </numFmts>
  <fonts count="18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80808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1"/>
    </font>
    <font>
      <sz val="10"/>
      <color rgb="FF000000"/>
      <name val="Arial"/>
      <family val="2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theme="3" tint="0.39997558519241921"/>
      <name val="Calibri"/>
      <family val="2"/>
      <charset val="1"/>
    </font>
    <font>
      <sz val="11"/>
      <color rgb="FF00B050"/>
      <name val="Calibri"/>
      <family val="2"/>
      <charset val="1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  <charset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2E75B6"/>
      </patternFill>
    </fill>
    <fill>
      <patternFill patternType="solid">
        <fgColor theme="4" tint="0.39997558519241921"/>
        <bgColor rgb="FF969696"/>
      </patternFill>
    </fill>
    <fill>
      <patternFill patternType="solid">
        <fgColor theme="3" tint="-0.249977111117893"/>
        <bgColor rgb="FF4472C4"/>
      </patternFill>
    </fill>
    <fill>
      <patternFill patternType="solid">
        <fgColor theme="0"/>
        <bgColor rgb="FFF2F2F2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62">
    <xf numFmtId="0" fontId="0" fillId="0" borderId="0" xfId="0"/>
    <xf numFmtId="0" fontId="2" fillId="0" borderId="1" xfId="0" applyFont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5" fontId="0" fillId="2" borderId="1" xfId="0" applyNumberFormat="1" applyFill="1" applyBorder="1" applyAlignment="1">
      <alignment horizontal="right" vertical="center"/>
    </xf>
    <xf numFmtId="10" fontId="0" fillId="0" borderId="0" xfId="0" applyNumberFormat="1"/>
    <xf numFmtId="10" fontId="7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9" fillId="5" borderId="0" xfId="0" applyFont="1" applyFill="1"/>
    <xf numFmtId="0" fontId="0" fillId="5" borderId="0" xfId="0" applyFill="1"/>
    <xf numFmtId="0" fontId="0" fillId="4" borderId="4" xfId="0" applyFill="1" applyBorder="1"/>
    <xf numFmtId="167" fontId="12" fillId="0" borderId="4" xfId="1" applyNumberFormat="1" applyFont="1" applyBorder="1"/>
    <xf numFmtId="10" fontId="12" fillId="0" borderId="4" xfId="1" applyNumberFormat="1" applyFont="1" applyBorder="1"/>
    <xf numFmtId="167" fontId="0" fillId="0" borderId="4" xfId="1" applyNumberFormat="1" applyFont="1" applyBorder="1"/>
    <xf numFmtId="9" fontId="12" fillId="0" borderId="4" xfId="1" applyNumberFormat="1" applyFont="1" applyBorder="1"/>
    <xf numFmtId="10" fontId="0" fillId="0" borderId="4" xfId="1" applyNumberFormat="1" applyFont="1" applyBorder="1"/>
    <xf numFmtId="164" fontId="12" fillId="0" borderId="4" xfId="0" applyNumberFormat="1" applyFont="1" applyBorder="1"/>
    <xf numFmtId="2" fontId="12" fillId="0" borderId="4" xfId="0" applyNumberFormat="1" applyFont="1" applyBorder="1"/>
    <xf numFmtId="164" fontId="0" fillId="0" borderId="4" xfId="0" applyNumberFormat="1" applyBorder="1"/>
    <xf numFmtId="9" fontId="11" fillId="6" borderId="4" xfId="0" applyNumberFormat="1" applyFont="1" applyFill="1" applyBorder="1"/>
    <xf numFmtId="0" fontId="0" fillId="0" borderId="4" xfId="0" applyBorder="1"/>
    <xf numFmtId="0" fontId="12" fillId="0" borderId="4" xfId="0" applyFont="1" applyBorder="1"/>
    <xf numFmtId="0" fontId="9" fillId="7" borderId="4" xfId="0" applyFont="1" applyFill="1" applyBorder="1"/>
    <xf numFmtId="0" fontId="0" fillId="7" borderId="4" xfId="0" applyFill="1" applyBorder="1"/>
    <xf numFmtId="9" fontId="0" fillId="0" borderId="4" xfId="0" applyNumberFormat="1" applyBorder="1"/>
    <xf numFmtId="10" fontId="0" fillId="0" borderId="4" xfId="0" applyNumberFormat="1" applyBorder="1"/>
    <xf numFmtId="9" fontId="7" fillId="0" borderId="4" xfId="0" applyNumberFormat="1" applyFont="1" applyBorder="1" applyAlignment="1">
      <alignment horizontal="right" vertical="center"/>
    </xf>
    <xf numFmtId="0" fontId="13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right" vertical="center"/>
    </xf>
    <xf numFmtId="4" fontId="15" fillId="0" borderId="0" xfId="0" applyNumberFormat="1" applyFont="1"/>
    <xf numFmtId="166" fontId="3" fillId="11" borderId="1" xfId="0" applyNumberFormat="1" applyFont="1" applyFill="1" applyBorder="1" applyAlignment="1">
      <alignment horizontal="right" vertical="center"/>
    </xf>
    <xf numFmtId="166" fontId="2" fillId="11" borderId="1" xfId="0" applyNumberFormat="1" applyFont="1" applyFill="1" applyBorder="1" applyAlignment="1">
      <alignment horizontal="right" vertical="center"/>
    </xf>
    <xf numFmtId="166" fontId="0" fillId="11" borderId="1" xfId="0" applyNumberFormat="1" applyFill="1" applyBorder="1" applyAlignment="1">
      <alignment horizontal="right" vertical="center"/>
    </xf>
    <xf numFmtId="164" fontId="0" fillId="3" borderId="4" xfId="0" applyNumberFormat="1" applyFill="1" applyBorder="1"/>
    <xf numFmtId="164" fontId="0" fillId="6" borderId="4" xfId="0" applyNumberFormat="1" applyFill="1" applyBorder="1"/>
    <xf numFmtId="0" fontId="10" fillId="13" borderId="6" xfId="0" applyFont="1" applyFill="1" applyBorder="1"/>
    <xf numFmtId="0" fontId="10" fillId="13" borderId="7" xfId="0" applyFont="1" applyFill="1" applyBorder="1"/>
    <xf numFmtId="0" fontId="10" fillId="12" borderId="8" xfId="0" applyFont="1" applyFill="1" applyBorder="1"/>
    <xf numFmtId="9" fontId="10" fillId="12" borderId="0" xfId="0" applyNumberFormat="1" applyFont="1" applyFill="1"/>
    <xf numFmtId="10" fontId="10" fillId="12" borderId="0" xfId="0" applyNumberFormat="1" applyFont="1" applyFill="1"/>
    <xf numFmtId="9" fontId="10" fillId="12" borderId="9" xfId="0" applyNumberFormat="1" applyFont="1" applyFill="1" applyBorder="1"/>
    <xf numFmtId="9" fontId="6" fillId="12" borderId="8" xfId="0" applyNumberFormat="1" applyFont="1" applyFill="1" applyBorder="1"/>
    <xf numFmtId="10" fontId="6" fillId="12" borderId="8" xfId="0" applyNumberFormat="1" applyFont="1" applyFill="1" applyBorder="1"/>
    <xf numFmtId="9" fontId="6" fillId="12" borderId="10" xfId="0" applyNumberFormat="1" applyFont="1" applyFill="1" applyBorder="1"/>
    <xf numFmtId="0" fontId="0" fillId="15" borderId="0" xfId="0" applyFill="1"/>
    <xf numFmtId="0" fontId="0" fillId="14" borderId="4" xfId="0" applyFill="1" applyBorder="1"/>
    <xf numFmtId="164" fontId="0" fillId="14" borderId="4" xfId="0" applyNumberFormat="1" applyFill="1" applyBorder="1"/>
    <xf numFmtId="10" fontId="0" fillId="14" borderId="4" xfId="0" applyNumberFormat="1" applyFill="1" applyBorder="1"/>
    <xf numFmtId="0" fontId="0" fillId="6" borderId="4" xfId="0" applyFill="1" applyBorder="1"/>
    <xf numFmtId="9" fontId="0" fillId="0" borderId="0" xfId="0" applyNumberFormat="1"/>
    <xf numFmtId="0" fontId="16" fillId="0" borderId="0" xfId="0" applyFont="1"/>
    <xf numFmtId="0" fontId="0" fillId="16" borderId="0" xfId="0" applyFill="1"/>
    <xf numFmtId="0" fontId="17" fillId="16" borderId="0" xfId="0" applyFont="1" applyFill="1"/>
    <xf numFmtId="0" fontId="16" fillId="16" borderId="0" xfId="0" applyFont="1" applyFill="1"/>
    <xf numFmtId="168" fontId="16" fillId="16" borderId="0" xfId="0" applyNumberFormat="1" applyFont="1" applyFill="1"/>
    <xf numFmtId="10" fontId="16" fillId="16" borderId="0" xfId="0" applyNumberFormat="1" applyFont="1" applyFill="1"/>
    <xf numFmtId="0" fontId="9" fillId="13" borderId="5" xfId="0" applyFont="1" applyFill="1" applyBorder="1" applyAlignment="1">
      <alignment horizontal="center" wrapText="1"/>
    </xf>
    <xf numFmtId="0" fontId="9" fillId="13" borderId="6" xfId="0" applyFont="1" applyFill="1" applyBorder="1" applyAlignment="1">
      <alignment horizontal="center" wrapText="1"/>
    </xf>
    <xf numFmtId="0" fontId="14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BA15B-1952-4448-8511-617985BDD646}">
  <dimension ref="B3:N33"/>
  <sheetViews>
    <sheetView topLeftCell="A2" zoomScale="77" zoomScaleNormal="77" workbookViewId="0">
      <selection activeCell="C29" sqref="C29:H33"/>
    </sheetView>
  </sheetViews>
  <sheetFormatPr defaultRowHeight="15" x14ac:dyDescent="0.2"/>
  <cols>
    <col min="2" max="2" width="28.78515625" bestFit="1" customWidth="1"/>
    <col min="3" max="3" width="10.35546875" bestFit="1" customWidth="1"/>
    <col min="4" max="8" width="8.875" bestFit="1" customWidth="1"/>
  </cols>
  <sheetData>
    <row r="3" spans="2:11" x14ac:dyDescent="0.2">
      <c r="B3" s="27" t="s">
        <v>0</v>
      </c>
      <c r="C3" s="28" t="s">
        <v>1</v>
      </c>
      <c r="D3" s="29" t="s">
        <v>2</v>
      </c>
      <c r="E3" s="29" t="s">
        <v>3</v>
      </c>
      <c r="F3" s="29" t="s">
        <v>4</v>
      </c>
      <c r="G3" s="29" t="s">
        <v>5</v>
      </c>
      <c r="H3" s="29" t="s">
        <v>6</v>
      </c>
    </row>
    <row r="4" spans="2:11" x14ac:dyDescent="0.2">
      <c r="B4" s="60" t="s">
        <v>7</v>
      </c>
      <c r="C4" s="60"/>
      <c r="D4" s="60"/>
      <c r="E4" s="60"/>
      <c r="F4" s="60"/>
      <c r="G4" s="60"/>
      <c r="H4" s="60"/>
    </row>
    <row r="5" spans="2:11" x14ac:dyDescent="0.2">
      <c r="B5" s="1" t="s">
        <v>8</v>
      </c>
      <c r="C5" s="2">
        <v>21712.79</v>
      </c>
      <c r="D5" s="30">
        <v>29101.279999999999</v>
      </c>
      <c r="E5" s="30">
        <v>34488.589999999997</v>
      </c>
      <c r="F5" s="30">
        <v>35494.730000000003</v>
      </c>
      <c r="G5" s="30">
        <v>33905.620000000003</v>
      </c>
      <c r="H5" s="30">
        <v>35583.54</v>
      </c>
    </row>
    <row r="6" spans="2:11" x14ac:dyDescent="0.2">
      <c r="B6" s="1" t="s">
        <v>9</v>
      </c>
      <c r="C6" s="2">
        <v>5158.6499999999996</v>
      </c>
      <c r="D6" s="30">
        <v>5183.62</v>
      </c>
      <c r="E6" s="30">
        <v>6646.32</v>
      </c>
      <c r="F6" s="30">
        <v>8272.94</v>
      </c>
      <c r="G6" s="30">
        <v>6578.82</v>
      </c>
      <c r="H6" s="30">
        <v>7419.72</v>
      </c>
    </row>
    <row r="7" spans="2:11" x14ac:dyDescent="0.2">
      <c r="B7" s="1" t="s">
        <v>10</v>
      </c>
      <c r="C7" s="2">
        <v>791.27</v>
      </c>
      <c r="D7" s="30">
        <v>816.36</v>
      </c>
      <c r="E7" s="30">
        <v>858.02</v>
      </c>
      <c r="F7" s="30">
        <v>853</v>
      </c>
      <c r="G7" s="30">
        <v>1026.3399999999999</v>
      </c>
      <c r="H7" s="30">
        <v>1228.8499999999999</v>
      </c>
    </row>
    <row r="8" spans="2:11" x14ac:dyDescent="0.2">
      <c r="B8" s="3" t="s">
        <v>11</v>
      </c>
      <c r="C8" s="2">
        <f t="shared" ref="C8:H8" si="0">C6-C7</f>
        <v>4367.3799999999992</v>
      </c>
      <c r="D8" s="30">
        <f t="shared" si="0"/>
        <v>4367.26</v>
      </c>
      <c r="E8" s="30">
        <f t="shared" si="0"/>
        <v>5788.2999999999993</v>
      </c>
      <c r="F8" s="30">
        <f t="shared" si="0"/>
        <v>7419.9400000000005</v>
      </c>
      <c r="G8" s="30">
        <f t="shared" si="0"/>
        <v>5552.48</v>
      </c>
      <c r="H8" s="30">
        <f t="shared" si="0"/>
        <v>6190.8700000000008</v>
      </c>
    </row>
    <row r="9" spans="2:11" x14ac:dyDescent="0.2">
      <c r="B9" s="1" t="s">
        <v>12</v>
      </c>
      <c r="C9" s="2">
        <v>91.63</v>
      </c>
      <c r="D9" s="30">
        <v>95.41</v>
      </c>
      <c r="E9" s="30">
        <v>144.44999999999999</v>
      </c>
      <c r="F9" s="30">
        <v>205.17</v>
      </c>
      <c r="G9" s="30">
        <v>227.02</v>
      </c>
      <c r="H9" s="30">
        <v>195.41</v>
      </c>
    </row>
    <row r="10" spans="2:11" x14ac:dyDescent="0.2">
      <c r="B10" s="1" t="s">
        <v>13</v>
      </c>
      <c r="C10" s="2">
        <v>4304.3500000000004</v>
      </c>
      <c r="D10" s="30">
        <v>4187.72</v>
      </c>
      <c r="E10" s="30">
        <v>5688.83</v>
      </c>
      <c r="F10" s="30">
        <v>7347.77</v>
      </c>
      <c r="G10" s="30">
        <v>5103.07</v>
      </c>
      <c r="H10" s="30">
        <v>6003.44</v>
      </c>
    </row>
    <row r="11" spans="2:11" x14ac:dyDescent="0.2">
      <c r="B11" s="1" t="s">
        <v>14</v>
      </c>
      <c r="C11" s="2">
        <v>1097.5999999999999</v>
      </c>
      <c r="D11" s="30">
        <v>1102.9100000000001</v>
      </c>
      <c r="E11" s="30">
        <v>1493.5</v>
      </c>
      <c r="F11" s="30">
        <v>1790.08</v>
      </c>
      <c r="G11" s="30">
        <v>1393.36</v>
      </c>
      <c r="H11" s="30">
        <v>1608.75</v>
      </c>
    </row>
    <row r="12" spans="2:11" x14ac:dyDescent="0.2">
      <c r="B12" s="1" t="s">
        <v>15</v>
      </c>
      <c r="C12" s="2">
        <v>3206.75</v>
      </c>
      <c r="D12" s="30">
        <v>3084.81</v>
      </c>
      <c r="E12" s="30">
        <v>4195.33</v>
      </c>
      <c r="F12" s="30">
        <v>5557.69</v>
      </c>
      <c r="G12" s="30">
        <v>3709.71</v>
      </c>
      <c r="H12" s="30">
        <v>4394.6899999999996</v>
      </c>
    </row>
    <row r="14" spans="2:11" x14ac:dyDescent="0.2">
      <c r="B14" s="61" t="s">
        <v>16</v>
      </c>
      <c r="C14" s="61"/>
      <c r="D14" s="61"/>
      <c r="E14" s="61"/>
      <c r="F14" s="61"/>
      <c r="G14" s="61"/>
      <c r="H14" s="61"/>
    </row>
    <row r="15" spans="2:11" x14ac:dyDescent="0.2">
      <c r="B15" s="1" t="s">
        <v>17</v>
      </c>
      <c r="C15" s="2">
        <v>3683.35</v>
      </c>
      <c r="D15" s="30">
        <v>986.49</v>
      </c>
      <c r="E15" s="30">
        <v>4193.43</v>
      </c>
      <c r="F15" s="30">
        <v>6103.6</v>
      </c>
      <c r="G15" s="30">
        <v>4423.96</v>
      </c>
      <c r="H15" s="30">
        <v>7088.18</v>
      </c>
      <c r="K15" s="5"/>
    </row>
    <row r="16" spans="2:11" x14ac:dyDescent="0.2">
      <c r="B16" s="1" t="s">
        <v>18</v>
      </c>
      <c r="C16" s="2">
        <v>281.87</v>
      </c>
      <c r="D16" s="30">
        <v>538.24</v>
      </c>
      <c r="E16" s="30">
        <v>1273.3699999999999</v>
      </c>
      <c r="F16" s="30">
        <v>2199.0100000000002</v>
      </c>
      <c r="G16" s="30">
        <v>1805.32</v>
      </c>
      <c r="H16" s="30">
        <v>1467.02</v>
      </c>
    </row>
    <row r="17" spans="2:14" x14ac:dyDescent="0.2">
      <c r="B17" s="3" t="s">
        <v>19</v>
      </c>
      <c r="C17" s="4"/>
      <c r="D17" s="30">
        <f>(D21-D22)-(C21-C22)</f>
        <v>1480.5999999999995</v>
      </c>
      <c r="E17" s="30">
        <f>(E21-E22)-(D21-D22)</f>
        <v>1057.8899999999994</v>
      </c>
      <c r="F17" s="30">
        <f>(F21-F22)-(E21-E22)</f>
        <v>396.87000000000262</v>
      </c>
      <c r="G17" s="30">
        <f>(G21-G22)-(F21-F22)</f>
        <v>-185.65000000000146</v>
      </c>
      <c r="H17" s="30">
        <f>(H21-H22)-(G21-G22)</f>
        <v>2197.159999999998</v>
      </c>
      <c r="J17" s="6"/>
      <c r="K17" s="6"/>
      <c r="L17" s="6"/>
      <c r="M17" s="6"/>
      <c r="N17" s="6"/>
    </row>
    <row r="19" spans="2:14" x14ac:dyDescent="0.2">
      <c r="B19" s="61" t="s">
        <v>20</v>
      </c>
      <c r="C19" s="61"/>
      <c r="D19" s="61"/>
      <c r="E19" s="61"/>
      <c r="F19" s="61"/>
      <c r="G19" s="61"/>
      <c r="H19" s="61"/>
    </row>
    <row r="20" spans="2:14" x14ac:dyDescent="0.2">
      <c r="B20" s="1" t="s">
        <v>21</v>
      </c>
      <c r="C20" s="2">
        <v>4476.3500000000004</v>
      </c>
      <c r="D20" s="30">
        <v>4184.46</v>
      </c>
      <c r="E20" s="30">
        <v>4145.6499999999996</v>
      </c>
      <c r="F20" s="30">
        <v>4446.2</v>
      </c>
      <c r="G20" s="30">
        <v>6787.62</v>
      </c>
      <c r="H20" s="30">
        <v>7146.23</v>
      </c>
    </row>
    <row r="21" spans="2:14" x14ac:dyDescent="0.2">
      <c r="B21" s="1" t="s">
        <v>22</v>
      </c>
      <c r="C21" s="2">
        <v>12026.6</v>
      </c>
      <c r="D21" s="30">
        <v>15152.33</v>
      </c>
      <c r="E21" s="30">
        <v>16535.16</v>
      </c>
      <c r="F21" s="30">
        <v>17537.060000000001</v>
      </c>
      <c r="G21" s="30">
        <v>16991.68</v>
      </c>
      <c r="H21" s="30">
        <v>20184.64</v>
      </c>
    </row>
    <row r="22" spans="2:14" x14ac:dyDescent="0.2">
      <c r="B22" s="1" t="s">
        <v>23</v>
      </c>
      <c r="C22" s="2">
        <v>5925.86</v>
      </c>
      <c r="D22" s="30">
        <v>7570.99</v>
      </c>
      <c r="E22" s="30">
        <v>7895.93</v>
      </c>
      <c r="F22" s="30">
        <v>8500.9599999999991</v>
      </c>
      <c r="G22" s="30">
        <v>8141.23</v>
      </c>
      <c r="H22" s="30">
        <v>9137.0300000000007</v>
      </c>
    </row>
    <row r="23" spans="2:14" x14ac:dyDescent="0.2">
      <c r="B23" s="1" t="s">
        <v>24</v>
      </c>
      <c r="C23" s="2">
        <v>348.58</v>
      </c>
      <c r="D23" s="30">
        <v>775.66</v>
      </c>
      <c r="E23" s="30">
        <v>972.21</v>
      </c>
      <c r="F23" s="30">
        <v>1107.1400000000001</v>
      </c>
      <c r="G23" s="30">
        <v>863.75</v>
      </c>
      <c r="H23" s="30">
        <v>2293.2600000000002</v>
      </c>
    </row>
    <row r="24" spans="2:14" x14ac:dyDescent="0.2">
      <c r="B24" s="1" t="s">
        <v>25</v>
      </c>
      <c r="C24" s="2">
        <v>346.39</v>
      </c>
      <c r="D24" s="30">
        <v>621.72</v>
      </c>
      <c r="E24" s="30">
        <v>523.1</v>
      </c>
      <c r="F24" s="30">
        <v>829.34</v>
      </c>
      <c r="G24" s="30">
        <v>445.28</v>
      </c>
      <c r="H24" s="30">
        <v>672.83</v>
      </c>
    </row>
    <row r="25" spans="2:14" x14ac:dyDescent="0.2">
      <c r="B25" s="1" t="s">
        <v>26</v>
      </c>
      <c r="C25" s="2">
        <v>13229.15</v>
      </c>
      <c r="D25" s="30">
        <v>14199.09</v>
      </c>
      <c r="E25" s="30">
        <v>16445.89</v>
      </c>
      <c r="F25" s="30">
        <v>19423.68</v>
      </c>
      <c r="G25" s="30">
        <v>20059.05</v>
      </c>
      <c r="H25" s="30">
        <v>22014.98</v>
      </c>
    </row>
    <row r="26" spans="2:14" x14ac:dyDescent="0.2">
      <c r="B26" s="1" t="s">
        <v>27</v>
      </c>
      <c r="C26" s="2">
        <v>95.92</v>
      </c>
      <c r="D26" s="30">
        <v>95.92</v>
      </c>
      <c r="E26" s="30">
        <v>95.92</v>
      </c>
      <c r="F26" s="30">
        <v>95.92</v>
      </c>
      <c r="G26" s="30">
        <v>95.92</v>
      </c>
      <c r="H26" s="30">
        <v>95.92</v>
      </c>
    </row>
    <row r="27" spans="2:14" x14ac:dyDescent="0.2">
      <c r="B27" s="7" t="s">
        <v>78</v>
      </c>
      <c r="D27" s="31">
        <f>D21-D22</f>
        <v>7581.34</v>
      </c>
      <c r="E27" s="31">
        <f t="shared" ref="E27:H27" si="1">E21-E22</f>
        <v>8639.23</v>
      </c>
      <c r="F27" s="31">
        <f t="shared" si="1"/>
        <v>9036.1000000000022</v>
      </c>
      <c r="G27" s="31">
        <f t="shared" si="1"/>
        <v>8850.4500000000007</v>
      </c>
      <c r="H27" s="31">
        <f t="shared" si="1"/>
        <v>11047.609999999999</v>
      </c>
    </row>
    <row r="28" spans="2:14" x14ac:dyDescent="0.2">
      <c r="B28" s="61" t="s">
        <v>28</v>
      </c>
      <c r="C28" s="61"/>
      <c r="D28" s="61"/>
      <c r="E28" s="61"/>
      <c r="F28" s="61"/>
      <c r="G28" s="61"/>
      <c r="H28" s="61"/>
    </row>
    <row r="29" spans="2:14" x14ac:dyDescent="0.2">
      <c r="B29" s="3" t="s">
        <v>29</v>
      </c>
      <c r="C29" s="32">
        <f t="shared" ref="C29:H29" si="2">IFERROR(C8/C5,"-")</f>
        <v>0.20114319716627846</v>
      </c>
      <c r="D29" s="33">
        <f t="shared" si="2"/>
        <v>0.15007106216633773</v>
      </c>
      <c r="E29" s="33">
        <f t="shared" si="2"/>
        <v>0.16783231787672387</v>
      </c>
      <c r="F29" s="33">
        <f t="shared" si="2"/>
        <v>0.20904342701015052</v>
      </c>
      <c r="G29" s="33">
        <f t="shared" si="2"/>
        <v>0.16376282162072245</v>
      </c>
      <c r="H29" s="33">
        <f t="shared" si="2"/>
        <v>0.17398128460518544</v>
      </c>
    </row>
    <row r="30" spans="2:14" x14ac:dyDescent="0.2">
      <c r="B30" s="3" t="s">
        <v>30</v>
      </c>
      <c r="C30" s="32">
        <f t="shared" ref="C30:H30" si="3">IFERROR(C6/C5,"-")</f>
        <v>0.23758577317792876</v>
      </c>
      <c r="D30" s="33">
        <f t="shared" si="3"/>
        <v>0.17812343649488957</v>
      </c>
      <c r="E30" s="33">
        <f t="shared" si="3"/>
        <v>0.19271069069509655</v>
      </c>
      <c r="F30" s="33">
        <f t="shared" si="3"/>
        <v>0.23307516355244848</v>
      </c>
      <c r="G30" s="33">
        <f t="shared" si="3"/>
        <v>0.1940333195499743</v>
      </c>
      <c r="H30" s="33">
        <f t="shared" si="3"/>
        <v>0.20851551026120504</v>
      </c>
    </row>
    <row r="31" spans="2:14" x14ac:dyDescent="0.2">
      <c r="B31" s="3" t="s">
        <v>31</v>
      </c>
      <c r="C31" s="32">
        <f t="shared" ref="C31:H31" si="4">IFERROR(C11/C10,"-")</f>
        <v>0.25499785101118633</v>
      </c>
      <c r="D31" s="33">
        <f t="shared" si="4"/>
        <v>0.26336765590822692</v>
      </c>
      <c r="E31" s="33">
        <f t="shared" si="4"/>
        <v>0.26253201449155628</v>
      </c>
      <c r="F31" s="33">
        <f t="shared" si="4"/>
        <v>0.24362221463110573</v>
      </c>
      <c r="G31" s="33">
        <f t="shared" si="4"/>
        <v>0.27304348166887776</v>
      </c>
      <c r="H31" s="33">
        <f t="shared" si="4"/>
        <v>0.2679713630851645</v>
      </c>
    </row>
    <row r="32" spans="2:14" x14ac:dyDescent="0.2">
      <c r="B32" s="3" t="s">
        <v>32</v>
      </c>
      <c r="C32" s="32">
        <f t="shared" ref="C32:H32" si="5">IFERROR(C16/C5,"-")</f>
        <v>1.298174946655865E-2</v>
      </c>
      <c r="D32" s="33">
        <f t="shared" si="5"/>
        <v>1.8495406387622815E-2</v>
      </c>
      <c r="E32" s="33">
        <f t="shared" si="5"/>
        <v>3.6921486207467456E-2</v>
      </c>
      <c r="F32" s="33">
        <f t="shared" si="5"/>
        <v>6.1953140649330198E-2</v>
      </c>
      <c r="G32" s="33">
        <f t="shared" si="5"/>
        <v>5.3245450164309038E-2</v>
      </c>
      <c r="H32" s="33">
        <f t="shared" si="5"/>
        <v>4.1227488889525883E-2</v>
      </c>
    </row>
    <row r="33" spans="2:8" x14ac:dyDescent="0.2">
      <c r="B33" s="3" t="s">
        <v>33</v>
      </c>
      <c r="C33" s="34"/>
      <c r="D33" s="33">
        <f>IFERROR(D5/C5-1,"-")</f>
        <v>0.34028284711453471</v>
      </c>
      <c r="E33" s="33">
        <f>IFERROR(E5/D5-1,"-")</f>
        <v>0.18512278497715551</v>
      </c>
      <c r="F33" s="33">
        <f>IFERROR(F5/E5-1,"-")</f>
        <v>2.9173126532572313E-2</v>
      </c>
      <c r="G33" s="33">
        <f>IFERROR(G5/F5-1,"-")</f>
        <v>-4.4770308155605121E-2</v>
      </c>
      <c r="H33" s="33">
        <f>IFERROR(H5/G5-1,"-")</f>
        <v>4.9487960992897317E-2</v>
      </c>
    </row>
  </sheetData>
  <mergeCells count="4">
    <mergeCell ref="B4:H4"/>
    <mergeCell ref="B14:H14"/>
    <mergeCell ref="B19:H19"/>
    <mergeCell ref="B28:H2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D60D-0517-42AA-B62E-B6EDE28104B6}">
  <dimension ref="B3:G10"/>
  <sheetViews>
    <sheetView workbookViewId="0">
      <selection activeCell="C10" sqref="C10:G10"/>
    </sheetView>
  </sheetViews>
  <sheetFormatPr defaultRowHeight="15" x14ac:dyDescent="0.2"/>
  <cols>
    <col min="2" max="2" width="31.34375" bestFit="1" customWidth="1"/>
    <col min="3" max="7" width="9.953125" bestFit="1" customWidth="1"/>
  </cols>
  <sheetData>
    <row r="3" spans="2:7" x14ac:dyDescent="0.2">
      <c r="B3" s="22" t="s">
        <v>34</v>
      </c>
      <c r="C3" s="23" t="s">
        <v>41</v>
      </c>
      <c r="D3" s="23" t="s">
        <v>42</v>
      </c>
      <c r="E3" s="23" t="s">
        <v>43</v>
      </c>
      <c r="F3" s="23" t="s">
        <v>44</v>
      </c>
      <c r="G3" s="23" t="s">
        <v>45</v>
      </c>
    </row>
    <row r="4" spans="2:7" x14ac:dyDescent="0.2">
      <c r="B4" s="23" t="s">
        <v>35</v>
      </c>
      <c r="C4" s="24">
        <v>7.0000000000000007E-2</v>
      </c>
      <c r="D4" s="25">
        <v>6.5000000000000002E-2</v>
      </c>
      <c r="E4" s="24">
        <v>0.06</v>
      </c>
      <c r="F4" s="25">
        <v>5.5E-2</v>
      </c>
      <c r="G4" s="24">
        <v>0.05</v>
      </c>
    </row>
    <row r="5" spans="2:7" x14ac:dyDescent="0.2">
      <c r="B5" s="23" t="s">
        <v>36</v>
      </c>
      <c r="C5" s="24">
        <v>0.21</v>
      </c>
      <c r="D5" s="24">
        <v>0.21</v>
      </c>
      <c r="E5" s="24">
        <v>0.21</v>
      </c>
      <c r="F5" s="24">
        <v>0.21</v>
      </c>
      <c r="G5" s="24">
        <v>0.21</v>
      </c>
    </row>
    <row r="6" spans="2:7" x14ac:dyDescent="0.2">
      <c r="B6" s="23" t="s">
        <v>37</v>
      </c>
      <c r="C6" s="25">
        <v>0.17499999999999999</v>
      </c>
      <c r="D6" s="25">
        <v>0.17499999999999999</v>
      </c>
      <c r="E6" s="25">
        <v>0.17499999999999999</v>
      </c>
      <c r="F6" s="25">
        <v>0.17499999999999999</v>
      </c>
      <c r="G6" s="25">
        <v>0.17499999999999999</v>
      </c>
    </row>
    <row r="7" spans="2:7" x14ac:dyDescent="0.2">
      <c r="B7" s="23" t="s">
        <v>38</v>
      </c>
      <c r="C7" s="25">
        <v>0.26500000000000001</v>
      </c>
      <c r="D7" s="25">
        <v>0.26500000000000001</v>
      </c>
      <c r="E7" s="25">
        <v>0.26500000000000001</v>
      </c>
      <c r="F7" s="25">
        <v>0.26500000000000001</v>
      </c>
      <c r="G7" s="25">
        <v>0.26500000000000001</v>
      </c>
    </row>
    <row r="8" spans="2:7" x14ac:dyDescent="0.2">
      <c r="B8" s="23" t="s">
        <v>39</v>
      </c>
      <c r="C8" s="24">
        <v>0.04</v>
      </c>
      <c r="D8" s="24">
        <v>0.04</v>
      </c>
      <c r="E8" s="24">
        <v>0.04</v>
      </c>
      <c r="F8" s="24">
        <v>0.04</v>
      </c>
      <c r="G8" s="24">
        <v>0.04</v>
      </c>
    </row>
    <row r="9" spans="2:7" x14ac:dyDescent="0.2">
      <c r="B9" s="23" t="s">
        <v>40</v>
      </c>
      <c r="C9" s="25">
        <v>3.5000000000000003E-2</v>
      </c>
      <c r="D9" s="25">
        <v>3.5000000000000003E-2</v>
      </c>
      <c r="E9" s="25">
        <v>3.5000000000000003E-2</v>
      </c>
      <c r="F9" s="25">
        <v>3.5000000000000003E-2</v>
      </c>
      <c r="G9" s="25">
        <v>3.5000000000000003E-2</v>
      </c>
    </row>
    <row r="10" spans="2:7" x14ac:dyDescent="0.2">
      <c r="B10" s="23" t="s">
        <v>79</v>
      </c>
      <c r="C10" s="26">
        <v>0.25</v>
      </c>
      <c r="D10" s="26">
        <v>0.25</v>
      </c>
      <c r="E10" s="26">
        <v>0.25</v>
      </c>
      <c r="F10" s="26">
        <v>0.25</v>
      </c>
      <c r="G10" s="26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AB1B-0EFA-44E2-B865-1A72EE99B073}">
  <dimension ref="B3:C23"/>
  <sheetViews>
    <sheetView workbookViewId="0">
      <selection activeCell="C23" sqref="C23"/>
    </sheetView>
  </sheetViews>
  <sheetFormatPr defaultRowHeight="15" x14ac:dyDescent="0.2"/>
  <cols>
    <col min="2" max="2" width="29.7265625" bestFit="1" customWidth="1"/>
  </cols>
  <sheetData>
    <row r="3" spans="2:3" x14ac:dyDescent="0.2">
      <c r="B3" s="53" t="s">
        <v>82</v>
      </c>
      <c r="C3" s="53"/>
    </row>
    <row r="4" spans="2:3" x14ac:dyDescent="0.2">
      <c r="B4" t="s">
        <v>83</v>
      </c>
      <c r="C4" s="51">
        <v>7.0000000000000007E-2</v>
      </c>
    </row>
    <row r="5" spans="2:3" x14ac:dyDescent="0.2">
      <c r="B5" t="s">
        <v>84</v>
      </c>
      <c r="C5" s="52">
        <v>0.85</v>
      </c>
    </row>
    <row r="6" spans="2:3" x14ac:dyDescent="0.2">
      <c r="B6" t="s">
        <v>85</v>
      </c>
      <c r="C6" s="51">
        <v>0.06</v>
      </c>
    </row>
    <row r="7" spans="2:3" x14ac:dyDescent="0.2">
      <c r="B7" s="55" t="s">
        <v>86</v>
      </c>
      <c r="C7" s="56">
        <f>C4+(C5*C6)</f>
        <v>0.121</v>
      </c>
    </row>
    <row r="9" spans="2:3" x14ac:dyDescent="0.2">
      <c r="B9" s="53" t="s">
        <v>87</v>
      </c>
      <c r="C9" s="53"/>
    </row>
    <row r="10" spans="2:3" x14ac:dyDescent="0.2">
      <c r="B10" t="s">
        <v>88</v>
      </c>
      <c r="C10">
        <f>'Historical Financial Data'!H23</f>
        <v>2293.2600000000002</v>
      </c>
    </row>
    <row r="11" spans="2:3" x14ac:dyDescent="0.2">
      <c r="B11" t="s">
        <v>89</v>
      </c>
      <c r="C11">
        <f>'Historical Financial Data'!H9</f>
        <v>195.41</v>
      </c>
    </row>
    <row r="12" spans="2:3" x14ac:dyDescent="0.2">
      <c r="B12" t="s">
        <v>90</v>
      </c>
      <c r="C12" s="5">
        <f>Assumptions!C7</f>
        <v>0.26500000000000001</v>
      </c>
    </row>
    <row r="13" spans="2:3" x14ac:dyDescent="0.2">
      <c r="B13" t="s">
        <v>91</v>
      </c>
      <c r="C13" s="5">
        <f>C11/C10</f>
        <v>8.5210573593923047E-2</v>
      </c>
    </row>
    <row r="14" spans="2:3" x14ac:dyDescent="0.2">
      <c r="B14" s="55" t="s">
        <v>92</v>
      </c>
      <c r="C14" s="57">
        <f>C13*(1-C12)</f>
        <v>6.2629771591533434E-2</v>
      </c>
    </row>
    <row r="16" spans="2:3" x14ac:dyDescent="0.2">
      <c r="B16" s="54" t="s">
        <v>93</v>
      </c>
      <c r="C16" s="53"/>
    </row>
    <row r="17" spans="2:3" x14ac:dyDescent="0.2">
      <c r="B17" t="s">
        <v>94</v>
      </c>
      <c r="C17">
        <v>234430</v>
      </c>
    </row>
    <row r="18" spans="2:3" x14ac:dyDescent="0.2">
      <c r="B18" t="s">
        <v>88</v>
      </c>
      <c r="C18">
        <f>C10</f>
        <v>2293.2600000000002</v>
      </c>
    </row>
    <row r="19" spans="2:3" x14ac:dyDescent="0.2">
      <c r="B19" t="s">
        <v>95</v>
      </c>
      <c r="C19">
        <f>C17+C18</f>
        <v>236723.26</v>
      </c>
    </row>
    <row r="20" spans="2:3" x14ac:dyDescent="0.2">
      <c r="B20" t="s">
        <v>96</v>
      </c>
      <c r="C20" s="5">
        <f>C17/C19</f>
        <v>0.99031248555803086</v>
      </c>
    </row>
    <row r="21" spans="2:3" x14ac:dyDescent="0.2">
      <c r="B21" t="s">
        <v>97</v>
      </c>
      <c r="C21" s="5">
        <f>C18/C19</f>
        <v>9.6875144419690737E-3</v>
      </c>
    </row>
    <row r="23" spans="2:3" x14ac:dyDescent="0.2">
      <c r="B23" s="55" t="s">
        <v>56</v>
      </c>
      <c r="C23" s="57">
        <f>(C20*C7)+(C21*C14)</f>
        <v>0.12043453756931194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B57A-41EF-47C3-9B44-CFFE880BA352}">
  <dimension ref="B2:G26"/>
  <sheetViews>
    <sheetView topLeftCell="A8" zoomScale="93" zoomScaleNormal="93" workbookViewId="0">
      <selection activeCell="C15" sqref="C15:G15"/>
    </sheetView>
  </sheetViews>
  <sheetFormatPr defaultRowHeight="15" x14ac:dyDescent="0.2"/>
  <cols>
    <col min="2" max="2" width="18.16015625" bestFit="1" customWidth="1"/>
    <col min="3" max="7" width="18.0234375" bestFit="1" customWidth="1"/>
  </cols>
  <sheetData>
    <row r="2" spans="2:7" x14ac:dyDescent="0.2">
      <c r="B2" s="10"/>
      <c r="C2" s="10" t="s">
        <v>41</v>
      </c>
      <c r="D2" s="10" t="s">
        <v>42</v>
      </c>
      <c r="E2" s="10" t="s">
        <v>43</v>
      </c>
      <c r="F2" s="10" t="s">
        <v>44</v>
      </c>
      <c r="G2" s="10" t="s">
        <v>45</v>
      </c>
    </row>
    <row r="3" spans="2:7" x14ac:dyDescent="0.2">
      <c r="B3" s="10" t="s">
        <v>46</v>
      </c>
      <c r="C3" s="11">
        <f>'Historical Financial Data'!H5*(1+forecast!C4)</f>
        <v>38074.387800000004</v>
      </c>
      <c r="D3" s="11">
        <f>C3*(1+D4)</f>
        <v>40549.223007000001</v>
      </c>
      <c r="E3" s="11">
        <f t="shared" ref="E3:G3" si="0">D3*(1+E4)</f>
        <v>42982.176387420004</v>
      </c>
      <c r="F3" s="11">
        <f t="shared" si="0"/>
        <v>45346.196088728102</v>
      </c>
      <c r="G3" s="11">
        <f t="shared" si="0"/>
        <v>47613.505893164511</v>
      </c>
    </row>
    <row r="4" spans="2:7" x14ac:dyDescent="0.2">
      <c r="B4" s="10" t="s">
        <v>47</v>
      </c>
      <c r="C4" s="12">
        <f>Assumptions!C4</f>
        <v>7.0000000000000007E-2</v>
      </c>
      <c r="D4" s="12">
        <f>Assumptions!D4</f>
        <v>6.5000000000000002E-2</v>
      </c>
      <c r="E4" s="12">
        <f>Assumptions!E4</f>
        <v>0.06</v>
      </c>
      <c r="F4" s="12">
        <f>Assumptions!F4</f>
        <v>5.5E-2</v>
      </c>
      <c r="G4" s="12">
        <f>Assumptions!G4</f>
        <v>0.05</v>
      </c>
    </row>
    <row r="5" spans="2:7" x14ac:dyDescent="0.2">
      <c r="B5" s="10" t="s">
        <v>48</v>
      </c>
      <c r="C5" s="13">
        <f>C3*C6</f>
        <v>7995.6214380000001</v>
      </c>
      <c r="D5" s="13">
        <f t="shared" ref="D5:G5" si="1">D3*D6</f>
        <v>8515.3368314700001</v>
      </c>
      <c r="E5" s="13">
        <f t="shared" si="1"/>
        <v>9026.2570413581998</v>
      </c>
      <c r="F5" s="13">
        <f t="shared" si="1"/>
        <v>9522.7011786329003</v>
      </c>
      <c r="G5" s="13">
        <f t="shared" si="1"/>
        <v>9998.8362375645465</v>
      </c>
    </row>
    <row r="6" spans="2:7" x14ac:dyDescent="0.2">
      <c r="B6" s="10" t="s">
        <v>49</v>
      </c>
      <c r="C6" s="14">
        <f>Assumptions!C5</f>
        <v>0.21</v>
      </c>
      <c r="D6" s="14">
        <f>Assumptions!D5</f>
        <v>0.21</v>
      </c>
      <c r="E6" s="14">
        <f>Assumptions!E5</f>
        <v>0.21</v>
      </c>
      <c r="F6" s="14">
        <f>Assumptions!F5</f>
        <v>0.21</v>
      </c>
      <c r="G6" s="14">
        <f>Assumptions!G5</f>
        <v>0.21</v>
      </c>
    </row>
    <row r="7" spans="2:7" x14ac:dyDescent="0.2">
      <c r="B7" s="10" t="s">
        <v>50</v>
      </c>
      <c r="C7" s="11">
        <f>C3*Assumptions!C9</f>
        <v>1332.6035730000003</v>
      </c>
      <c r="D7" s="11">
        <f>D3*Assumptions!D9</f>
        <v>1419.2228052450002</v>
      </c>
      <c r="E7" s="11">
        <f>E3*Assumptions!E9</f>
        <v>1504.3761735597002</v>
      </c>
      <c r="F7" s="11">
        <f>F3*Assumptions!F9</f>
        <v>1587.1168631054836</v>
      </c>
      <c r="G7" s="11">
        <f>G3*Assumptions!G9</f>
        <v>1666.4727062607581</v>
      </c>
    </row>
    <row r="8" spans="2:7" x14ac:dyDescent="0.2">
      <c r="B8" s="10" t="s">
        <v>11</v>
      </c>
      <c r="C8" s="13">
        <f>C5-C7</f>
        <v>6663.0178649999998</v>
      </c>
      <c r="D8" s="13">
        <f t="shared" ref="D8:G8" si="2">D5-D7</f>
        <v>7096.1140262250001</v>
      </c>
      <c r="E8" s="13">
        <f t="shared" si="2"/>
        <v>7521.8808677984998</v>
      </c>
      <c r="F8" s="13">
        <f t="shared" si="2"/>
        <v>7935.5843155274169</v>
      </c>
      <c r="G8" s="13">
        <f t="shared" si="2"/>
        <v>8332.3635313037885</v>
      </c>
    </row>
    <row r="9" spans="2:7" x14ac:dyDescent="0.2">
      <c r="B9" s="10" t="s">
        <v>37</v>
      </c>
      <c r="C9" s="15">
        <f>C8/C3</f>
        <v>0.17499999999999999</v>
      </c>
      <c r="D9" s="15">
        <f t="shared" ref="D9:G9" si="3">D8/D3</f>
        <v>0.17499999999999999</v>
      </c>
      <c r="E9" s="15">
        <f t="shared" si="3"/>
        <v>0.17499999999999999</v>
      </c>
      <c r="F9" s="15">
        <f t="shared" si="3"/>
        <v>0.17499999999999999</v>
      </c>
      <c r="G9" s="15">
        <f t="shared" si="3"/>
        <v>0.17499999999999999</v>
      </c>
    </row>
    <row r="10" spans="2:7" x14ac:dyDescent="0.2">
      <c r="B10" s="10" t="s">
        <v>51</v>
      </c>
      <c r="C10" s="11">
        <f>C8*Assumptions!C7</f>
        <v>1765.6997342249999</v>
      </c>
      <c r="D10" s="11">
        <f>D8*Assumptions!D7</f>
        <v>1880.4702169496252</v>
      </c>
      <c r="E10" s="11">
        <f>E8*Assumptions!E7</f>
        <v>1993.2984299666025</v>
      </c>
      <c r="F10" s="11">
        <f>F8*Assumptions!F7</f>
        <v>2102.9298436147656</v>
      </c>
      <c r="G10" s="11">
        <f>G8*Assumptions!G7</f>
        <v>2208.0763357955038</v>
      </c>
    </row>
    <row r="11" spans="2:7" x14ac:dyDescent="0.2">
      <c r="B11" s="10" t="s">
        <v>52</v>
      </c>
      <c r="C11" s="13">
        <f>C8-C10</f>
        <v>4897.3181307750001</v>
      </c>
      <c r="D11" s="13">
        <f t="shared" ref="D11:G11" si="4">D8-D10</f>
        <v>5215.6438092753751</v>
      </c>
      <c r="E11" s="13">
        <f t="shared" si="4"/>
        <v>5528.5824378318976</v>
      </c>
      <c r="F11" s="13">
        <f t="shared" si="4"/>
        <v>5832.6544719126514</v>
      </c>
      <c r="G11" s="13">
        <f t="shared" si="4"/>
        <v>6124.2871955082846</v>
      </c>
    </row>
    <row r="12" spans="2:7" x14ac:dyDescent="0.2">
      <c r="B12" s="10" t="s">
        <v>53</v>
      </c>
      <c r="C12" s="16">
        <f>C3*Assumptions!C8</f>
        <v>1522.9755120000002</v>
      </c>
      <c r="D12" s="16">
        <f>D3*Assumptions!D8</f>
        <v>1621.96892028</v>
      </c>
      <c r="E12" s="16">
        <f>E3*Assumptions!E8</f>
        <v>1719.2870554968001</v>
      </c>
      <c r="F12" s="16">
        <f>F3*Assumptions!F8</f>
        <v>1813.847843549124</v>
      </c>
      <c r="G12" s="16">
        <f>G3*Assumptions!G8</f>
        <v>1904.5402357265805</v>
      </c>
    </row>
    <row r="13" spans="2:7" x14ac:dyDescent="0.2">
      <c r="B13" s="10" t="s">
        <v>54</v>
      </c>
      <c r="C13" s="17">
        <f>(C3*Assumptions!C10) - ('Historical Financial Data'!$H$21-'Historical Financial Data'!H22)</f>
        <v>-1529.0130499999977</v>
      </c>
      <c r="D13" s="17">
        <f>(D3*Assumptions!D10)-(forecast!C3*Assumptions!C10)</f>
        <v>618.70880174999911</v>
      </c>
      <c r="E13" s="17">
        <f>(E3*Assumptions!E10)-(forecast!D3*Assumptions!D10)</f>
        <v>608.23834510500092</v>
      </c>
      <c r="F13" s="17">
        <f>(F3*Assumptions!F10)-(forecast!E3*Assumptions!E10)</f>
        <v>591.00492532702447</v>
      </c>
      <c r="G13" s="17">
        <f>(G3*Assumptions!G10)-(forecast!F3*Assumptions!F10)</f>
        <v>566.82745110910219</v>
      </c>
    </row>
    <row r="14" spans="2:7" x14ac:dyDescent="0.2">
      <c r="B14" s="10" t="s">
        <v>55</v>
      </c>
      <c r="C14" s="18">
        <f>C11+C7-C12-(C13)</f>
        <v>6235.9592417749982</v>
      </c>
      <c r="D14" s="18">
        <f t="shared" ref="D14:G14" si="5">D11+D7-D12-D13</f>
        <v>4394.188892490376</v>
      </c>
      <c r="E14" s="18">
        <f t="shared" si="5"/>
        <v>4705.4332107897962</v>
      </c>
      <c r="F14" s="18">
        <f t="shared" si="5"/>
        <v>5014.918566141986</v>
      </c>
      <c r="G14" s="18">
        <f t="shared" si="5"/>
        <v>5319.3922149333603</v>
      </c>
    </row>
    <row r="15" spans="2:7" x14ac:dyDescent="0.2">
      <c r="B15" s="10" t="s">
        <v>56</v>
      </c>
      <c r="C15" s="19">
        <f>WACC!$C$23</f>
        <v>0.12043453756931194</v>
      </c>
      <c r="D15" s="19">
        <f>WACC!$C$23</f>
        <v>0.12043453756931194</v>
      </c>
      <c r="E15" s="19">
        <f>WACC!$C$23</f>
        <v>0.12043453756931194</v>
      </c>
      <c r="F15" s="19">
        <f>WACC!$C$23</f>
        <v>0.12043453756931194</v>
      </c>
      <c r="G15" s="19">
        <f>WACC!$C$23</f>
        <v>0.12043453756931194</v>
      </c>
    </row>
    <row r="16" spans="2:7" x14ac:dyDescent="0.2">
      <c r="B16" s="10" t="s">
        <v>57</v>
      </c>
      <c r="C16" s="20">
        <f>1/(1+C15)^1</f>
        <v>0.89251086651560707</v>
      </c>
      <c r="D16" s="20">
        <f>1/(1+D15)^2</f>
        <v>0.79657564684843973</v>
      </c>
      <c r="E16" s="20">
        <f>1/(1+E15)^3</f>
        <v>0.71095242081393106</v>
      </c>
      <c r="F16" s="20">
        <f>1/(1+F15)^4</f>
        <v>0.63453276115201018</v>
      </c>
      <c r="G16" s="20">
        <f>1/(1+G15)^5</f>
        <v>0.56632738448832121</v>
      </c>
    </row>
    <row r="17" spans="2:7" x14ac:dyDescent="0.2">
      <c r="B17" s="10" t="s">
        <v>58</v>
      </c>
      <c r="C17" s="18">
        <f>C14*C16</f>
        <v>5565.6613864326118</v>
      </c>
      <c r="D17" s="18">
        <f t="shared" ref="D17:G17" si="6">D14*D16</f>
        <v>3500.3038594097502</v>
      </c>
      <c r="E17" s="18">
        <f t="shared" si="6"/>
        <v>3345.3391321892741</v>
      </c>
      <c r="F17" s="18">
        <f t="shared" si="6"/>
        <v>3182.1301247265542</v>
      </c>
      <c r="G17" s="18">
        <f t="shared" si="6"/>
        <v>3012.5174801507478</v>
      </c>
    </row>
    <row r="18" spans="2:7" x14ac:dyDescent="0.2">
      <c r="B18" s="10" t="s">
        <v>59</v>
      </c>
      <c r="C18" s="19">
        <v>0.04</v>
      </c>
      <c r="D18" s="19">
        <v>0.04</v>
      </c>
      <c r="E18" s="19">
        <v>0.04</v>
      </c>
      <c r="F18" s="19">
        <v>0.04</v>
      </c>
      <c r="G18" s="19">
        <v>0.04</v>
      </c>
    </row>
    <row r="19" spans="2:7" x14ac:dyDescent="0.2">
      <c r="B19" s="10" t="s">
        <v>60</v>
      </c>
      <c r="C19" s="18"/>
      <c r="D19" s="18"/>
      <c r="E19" s="18"/>
      <c r="F19" s="18"/>
      <c r="G19" s="18">
        <f>(G14*(1+G18))/(G15-G18)</f>
        <v>68778.513194826577</v>
      </c>
    </row>
    <row r="20" spans="2:7" x14ac:dyDescent="0.2">
      <c r="B20" s="10" t="s">
        <v>61</v>
      </c>
      <c r="C20" s="18">
        <f>C19*G16</f>
        <v>0</v>
      </c>
      <c r="D20" s="18"/>
      <c r="E20" s="18"/>
      <c r="F20" s="18"/>
      <c r="G20" s="18">
        <f>G19*G16</f>
        <v>38951.155486621625</v>
      </c>
    </row>
    <row r="21" spans="2:7" x14ac:dyDescent="0.2">
      <c r="B21" s="10" t="s">
        <v>62</v>
      </c>
      <c r="C21" s="18">
        <f>SUM(C17:G17)+G20</f>
        <v>57557.107469530565</v>
      </c>
      <c r="D21" s="18"/>
      <c r="E21" s="18"/>
      <c r="F21" s="18"/>
      <c r="G21" s="18"/>
    </row>
    <row r="22" spans="2:7" x14ac:dyDescent="0.2">
      <c r="B22" s="10" t="s">
        <v>63</v>
      </c>
      <c r="C22" s="21">
        <f>'Historical Financial Data'!H23</f>
        <v>2293.2600000000002</v>
      </c>
      <c r="D22" s="20"/>
      <c r="E22" s="20"/>
      <c r="F22" s="20"/>
      <c r="G22" s="20"/>
    </row>
    <row r="23" spans="2:7" x14ac:dyDescent="0.2">
      <c r="B23" s="10" t="s">
        <v>64</v>
      </c>
      <c r="C23" s="21">
        <f>'Historical Financial Data'!H24</f>
        <v>672.83</v>
      </c>
      <c r="D23" s="20"/>
      <c r="E23" s="20"/>
      <c r="F23" s="20"/>
      <c r="G23" s="20"/>
    </row>
    <row r="24" spans="2:7" x14ac:dyDescent="0.2">
      <c r="B24" s="10" t="s">
        <v>65</v>
      </c>
      <c r="C24" s="18">
        <f>C21-C22+C23</f>
        <v>55936.677469530565</v>
      </c>
      <c r="D24" s="20"/>
      <c r="E24" s="20"/>
      <c r="F24" s="20"/>
      <c r="G24" s="20"/>
    </row>
    <row r="25" spans="2:7" x14ac:dyDescent="0.2">
      <c r="B25" s="10" t="s">
        <v>66</v>
      </c>
      <c r="C25" s="21">
        <f>'Historical Financial Data'!H26</f>
        <v>95.92</v>
      </c>
      <c r="D25" s="20"/>
      <c r="E25" s="20"/>
      <c r="F25" s="20"/>
      <c r="G25" s="20"/>
    </row>
    <row r="26" spans="2:7" x14ac:dyDescent="0.2">
      <c r="B26" s="10" t="s">
        <v>67</v>
      </c>
      <c r="C26" s="18">
        <f>C24/C25</f>
        <v>583.15969004931776</v>
      </c>
      <c r="D26" s="20"/>
      <c r="E26" s="20"/>
      <c r="F26" s="20"/>
      <c r="G26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A17B-201C-4778-AC49-98D25112961A}">
  <dimension ref="B2:G8"/>
  <sheetViews>
    <sheetView tabSelected="1" workbookViewId="0">
      <selection activeCell="E6" sqref="E6"/>
    </sheetView>
  </sheetViews>
  <sheetFormatPr defaultRowHeight="15" x14ac:dyDescent="0.2"/>
  <cols>
    <col min="2" max="2" width="15.87109375" customWidth="1"/>
  </cols>
  <sheetData>
    <row r="2" spans="2:7" ht="29.1" customHeight="1" x14ac:dyDescent="0.2">
      <c r="B2" s="58" t="s">
        <v>68</v>
      </c>
      <c r="C2" s="59"/>
      <c r="D2" s="37"/>
      <c r="E2" s="37"/>
      <c r="F2" s="37"/>
      <c r="G2" s="38"/>
    </row>
    <row r="3" spans="2:7" x14ac:dyDescent="0.2">
      <c r="B3" s="39"/>
      <c r="C3" s="40">
        <v>0.03</v>
      </c>
      <c r="D3" s="41">
        <v>3.5000000000000003E-2</v>
      </c>
      <c r="E3" s="40">
        <v>0.04</v>
      </c>
      <c r="F3" s="41">
        <v>4.4999999999999998E-2</v>
      </c>
      <c r="G3" s="42">
        <v>0.05</v>
      </c>
    </row>
    <row r="4" spans="2:7" x14ac:dyDescent="0.2">
      <c r="B4" s="43">
        <v>0.11</v>
      </c>
      <c r="C4" s="35">
        <f>(forecast!$C$14/(1+$B4)^1+forecast!$D$14/(1+$B4)^2+forecast!$E$14/(1+$B4)^3+forecast!$F$14/(1+$B4)^4+forecast!$G$14/(1+$B4)^5+forecast!$G$14*(1+C$3)/(($B4-C$3)*(1+$B4)^5)-forecast!$C$22+forecast!$C$23)/forecast!$C$25</f>
        <v>605.80309816860427</v>
      </c>
      <c r="D4" s="35">
        <f>(forecast!$C$14/(1+$B4)^1+forecast!$D$14/(1+$B4)^2+forecast!$E$14/(1+$B4)^3+forecast!$F$14/(1+$B4)^4+forecast!$G$14/(1+$B4)^5+forecast!$G$14*(1+D$3)/(($B4-D$3)*(1+$B4)^5)-forecast!$C$22+forecast!$C$23)/forecast!$C$25</f>
        <v>636.24555382264214</v>
      </c>
      <c r="E4" s="35">
        <f>(forecast!$C$14/(1+$B4)^1+forecast!$D$14/(1+$B4)^2+forecast!$E$14/(1+$B4)^3+forecast!$F$14/(1+$B4)^4+forecast!$G$14/(1+$B4)^5+forecast!$G$14*(1+E$3)/(($B4-E$3)*(1+$B4)^5)-forecast!$C$22+forecast!$C$23)/forecast!$C$25</f>
        <v>671.03693171297118</v>
      </c>
      <c r="F4" s="35">
        <f>(forecast!$C$14/(1+$B4)^1+forecast!$D$14/(1+$B4)^2+forecast!$E$14/(1+$B4)^3+forecast!$F$14/(1+$B4)^4+forecast!$G$14/(1+$B4)^5+forecast!$G$14*(1+F$3)/(($B4-F$3)*(1+$B4)^5)-forecast!$C$22+forecast!$C$23)/forecast!$C$25</f>
        <v>711.18082927873559</v>
      </c>
      <c r="G4" s="35">
        <f>(forecast!$C$14/(1+$B4)^1+forecast!$D$14/(1+$B4)^2+forecast!$E$14/(1+$B4)^3+forecast!$F$14/(1+$B4)^4+forecast!$G$14/(1+$B4)^5+forecast!$G$14*(1+G$3)/(($B4-G$3)*(1+$B4)^5)-forecast!$C$22+forecast!$C$23)/forecast!$C$25</f>
        <v>758.01537643879408</v>
      </c>
    </row>
    <row r="5" spans="2:7" x14ac:dyDescent="0.2">
      <c r="B5" s="44">
        <v>0.115</v>
      </c>
      <c r="C5" s="35">
        <f>(forecast!$C$14/(1+$B5)^1+forecast!$D$14/(1+$B5)^2+forecast!$E$14/(1+$B5)^3+forecast!$F$14/(1+$B5)^4+forecast!$G$14/(1+$B5)^5+forecast!$G$14*(1+C$3)/(($B5-C$3)*(1+$B5)^5)-forecast!$C$22+forecast!$C$23)/forecast!$C$25</f>
        <v>569.59546513429575</v>
      </c>
      <c r="D5" s="35">
        <f>(forecast!$C$14/(1+$B5)^1+forecast!$D$14/(1+$B5)^2+forecast!$E$14/(1+$B5)^3+forecast!$F$14/(1+$B5)^4+forecast!$G$14/(1+$B5)^5+forecast!$G$14*(1+D$3)/(($B5-D$3)*(1+$B5)^5)-forecast!$C$22+forecast!$C$23)/forecast!$C$25</f>
        <v>595.97787513892081</v>
      </c>
      <c r="E5" s="35">
        <f>(forecast!$C$14/(1+$B5)^1+forecast!$D$14/(1+$B5)^2+forecast!$E$14/(1+$B5)^3+forecast!$F$14/(1+$B5)^4+forecast!$G$14/(1+$B5)^5+forecast!$G$14*(1+E$3)/(($B5-E$3)*(1+$B5)^5)-forecast!$C$22+forecast!$C$23)/forecast!$C$25</f>
        <v>625.87793981082905</v>
      </c>
      <c r="F5" s="35">
        <f>(forecast!$C$14/(1+$B5)^1+forecast!$D$14/(1+$B5)^2+forecast!$E$14/(1+$B5)^3+forecast!$F$14/(1+$B5)^4+forecast!$G$14/(1+$B5)^5+forecast!$G$14*(1+F$3)/(($B5-F$3)*(1+$B5)^5)-forecast!$C$22+forecast!$C$23)/forecast!$C$25</f>
        <v>660.04944229300986</v>
      </c>
      <c r="G5" s="35">
        <f>(forecast!$C$14/(1+$B5)^1+forecast!$D$14/(1+$B5)^2+forecast!$E$14/(1+$B5)^3+forecast!$F$14/(1+$B5)^4+forecast!$G$14/(1+$B5)^5+forecast!$G$14*(1+G$3)/(($B5-G$3)*(1+$B5)^5)-forecast!$C$22+forecast!$C$23)/forecast!$C$25</f>
        <v>699.47809900321863</v>
      </c>
    </row>
    <row r="6" spans="2:7" x14ac:dyDescent="0.2">
      <c r="B6" s="43">
        <v>0.12039999999999999</v>
      </c>
      <c r="C6" s="35">
        <f>(forecast!$C$14/(1+$B6)^1+forecast!$D$14/(1+$B6)^2+forecast!$E$14/(1+$B6)^3+forecast!$F$14/(1+$B6)^4+forecast!$G$14/(1+$B6)^5+forecast!$G$14*(1+C$3)/(($B6-C$3)*(1+$B6)^5)-forecast!$C$22+forecast!$C$23)/forecast!$C$25</f>
        <v>534.99169979138321</v>
      </c>
      <c r="D6" s="35">
        <f>(forecast!$C$14/(1+$B6)^1+forecast!$D$14/(1+$B6)^2+forecast!$E$14/(1+$B6)^3+forecast!$F$14/(1+$B6)^4+forecast!$G$14/(1+$B6)^5+forecast!$G$14*(1+D$3)/(($B6-D$3)*(1+$B6)^5)-forecast!$C$22+forecast!$C$23)/forecast!$C$25</f>
        <v>557.78483915067238</v>
      </c>
      <c r="E6" s="36">
        <f>(forecast!$C$14/(1+$B6)^1+forecast!$D$14/(1+$B6)^2+forecast!$E$14/(1+$B6)^3+forecast!$F$14/(1+$B6)^4+forecast!$G$14/(1+$B6)^5+forecast!$G$14*(1+E$3)/(($B6-E$3)*(1+$B6)^5)-forecast!$C$22+forecast!$C$23)/forecast!$C$25</f>
        <v>583.41294609196257</v>
      </c>
      <c r="F6" s="35">
        <f>(forecast!$C$14/(1+$B6)^1+forecast!$D$14/(1+$B6)^2+forecast!$E$14/(1+$B6)^3+forecast!$F$14/(1+$B6)^4+forecast!$G$14/(1+$B6)^5+forecast!$G$14*(1+F$3)/(($B6-F$3)*(1+$B6)^5)-forecast!$C$22+forecast!$C$23)/forecast!$C$25</f>
        <v>612.44000620849033</v>
      </c>
      <c r="G6" s="35">
        <f>(forecast!$C$14/(1+$B6)^1+forecast!$D$14/(1+$B6)^2+forecast!$E$14/(1+$B6)^3+forecast!$F$14/(1+$B6)^4+forecast!$G$14/(1+$B6)^5+forecast!$G$14*(1+G$3)/(($B6-G$3)*(1+$B6)^5)-forecast!$C$22+forecast!$C$23)/forecast!$C$25</f>
        <v>645.59022827338845</v>
      </c>
    </row>
    <row r="7" spans="2:7" x14ac:dyDescent="0.2">
      <c r="B7" s="44">
        <v>0.125</v>
      </c>
      <c r="C7" s="35">
        <f>(forecast!$C$14/(1+$B7)^1+forecast!$D$14/(1+$B7)^2+forecast!$E$14/(1+$B7)^3+forecast!$F$14/(1+$B7)^4+forecast!$G$14/(1+$B7)^5+forecast!$G$14*(1+C$3)/(($B7-C$3)*(1+$B7)^5)-forecast!$C$22+forecast!$C$23)/forecast!$C$25</f>
        <v>508.61855653341979</v>
      </c>
      <c r="D7" s="35">
        <f>(forecast!$C$14/(1+$B7)^1+forecast!$D$14/(1+$B7)^2+forecast!$E$14/(1+$B7)^3+forecast!$F$14/(1+$B7)^4+forecast!$G$14/(1+$B7)^5+forecast!$G$14*(1+D$3)/(($B7-D$3)*(1+$B7)^5)-forecast!$C$22+forecast!$C$23)/forecast!$C$25</f>
        <v>528.86490200317837</v>
      </c>
      <c r="E7" s="35">
        <f>(forecast!$C$14/(1+$B7)^1+forecast!$D$14/(1+$B7)^2+forecast!$E$14/(1+$B7)^3+forecast!$F$14/(1+$B7)^4+forecast!$G$14/(1+$B7)^5+forecast!$G$14*(1+E$3)/(($B7-E$3)*(1+$B7)^5)-forecast!$C$22+forecast!$C$23)/forecast!$C$25</f>
        <v>551.49317046937904</v>
      </c>
      <c r="F7" s="35">
        <f>(forecast!$C$14/(1+$B7)^1+forecast!$D$14/(1+$B7)^2+forecast!$E$14/(1+$B7)^3+forecast!$F$14/(1+$B7)^4+forecast!$G$14/(1+$B7)^5+forecast!$G$14*(1+F$3)/(($B7-F$3)*(1+$B7)^5)-forecast!$C$22+forecast!$C$23)/forecast!$C$25</f>
        <v>576.94997249385483</v>
      </c>
      <c r="G7" s="35">
        <f>(forecast!$C$14/(1+$B7)^1+forecast!$D$14/(1+$B7)^2+forecast!$E$14/(1+$B7)^3+forecast!$F$14/(1+$B7)^4+forecast!$G$14/(1+$B7)^5+forecast!$G$14*(1+G$3)/(($B7-G$3)*(1+$B7)^5)-forecast!$C$22+forecast!$C$23)/forecast!$C$25</f>
        <v>605.80101478826077</v>
      </c>
    </row>
    <row r="8" spans="2:7" x14ac:dyDescent="0.2">
      <c r="B8" s="45">
        <v>0.13</v>
      </c>
      <c r="C8" s="35">
        <f>(forecast!$C$14/(1+$B8)^1+forecast!$D$14/(1+$B8)^2+forecast!$E$14/(1+$B8)^3+forecast!$F$14/(1+$B8)^4+forecast!$G$14/(1+$B8)^5+forecast!$G$14*(1+C$3)/(($B8-C$3)*(1+$B8)^5)-forecast!$C$22+forecast!$C$23)/forecast!$C$25</f>
        <v>482.70523182312695</v>
      </c>
      <c r="D8" s="35">
        <f>(forecast!$C$14/(1+$B8)^1+forecast!$D$14/(1+$B8)^2+forecast!$E$14/(1+$B8)^3+forecast!$F$14/(1+$B8)^4+forecast!$G$14/(1+$B8)^5+forecast!$G$14*(1+D$3)/(($B8-D$3)*(1+$B8)^5)-forecast!$C$22+forecast!$C$23)/forecast!$C$25</f>
        <v>500.60656882156042</v>
      </c>
      <c r="E8" s="35">
        <f>(forecast!$C$14/(1+$B8)^1+forecast!$D$14/(1+$B8)^2+forecast!$E$14/(1+$B8)^3+forecast!$F$14/(1+$B8)^4+forecast!$G$14/(1+$B8)^5+forecast!$G$14*(1+E$3)/(($B8-E$3)*(1+$B8)^5)-forecast!$C$22+forecast!$C$23)/forecast!$C$25</f>
        <v>520.49694326426436</v>
      </c>
      <c r="F8" s="35">
        <f>(forecast!$C$14/(1+$B8)^1+forecast!$D$14/(1+$B8)^2+forecast!$E$14/(1+$B8)^3+forecast!$F$14/(1+$B8)^4+forecast!$G$14/(1+$B8)^5+forecast!$G$14*(1+F$3)/(($B8-F$3)*(1+$B8)^5)-forecast!$C$22+forecast!$C$23)/forecast!$C$25</f>
        <v>542.72736175905106</v>
      </c>
      <c r="G8" s="35">
        <f>(forecast!$C$14/(1+$B8)^1+forecast!$D$14/(1+$B8)^2+forecast!$E$14/(1+$B8)^3+forecast!$F$14/(1+$B8)^4+forecast!$G$14/(1+$B8)^5+forecast!$G$14*(1+G$3)/(($B8-G$3)*(1+$B8)^5)-forecast!$C$22+forecast!$C$23)/forecast!$C$25</f>
        <v>567.73658256568615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CF8D0-2B79-41EE-BD0E-A4D811251639}">
  <dimension ref="B2:C11"/>
  <sheetViews>
    <sheetView workbookViewId="0">
      <selection activeCell="C10" sqref="C10"/>
    </sheetView>
  </sheetViews>
  <sheetFormatPr defaultRowHeight="15" x14ac:dyDescent="0.2"/>
  <cols>
    <col min="2" max="2" width="26.23046875" bestFit="1" customWidth="1"/>
    <col min="3" max="3" width="10.35546875" bestFit="1" customWidth="1"/>
  </cols>
  <sheetData>
    <row r="2" spans="2:3" x14ac:dyDescent="0.2">
      <c r="B2" s="8" t="s">
        <v>69</v>
      </c>
      <c r="C2" s="9"/>
    </row>
    <row r="3" spans="2:3" x14ac:dyDescent="0.2">
      <c r="B3" s="46" t="s">
        <v>70</v>
      </c>
      <c r="C3" s="48">
        <f>forecast!C21</f>
        <v>57557.107469530565</v>
      </c>
    </row>
    <row r="4" spans="2:3" x14ac:dyDescent="0.2">
      <c r="B4" s="46" t="s">
        <v>71</v>
      </c>
      <c r="C4" s="47">
        <f>'Historical Financial Data'!H23</f>
        <v>2293.2600000000002</v>
      </c>
    </row>
    <row r="5" spans="2:3" x14ac:dyDescent="0.2">
      <c r="B5" s="46" t="s">
        <v>72</v>
      </c>
      <c r="C5" s="47">
        <f>'Historical Financial Data'!H24</f>
        <v>672.83</v>
      </c>
    </row>
    <row r="6" spans="2:3" x14ac:dyDescent="0.2">
      <c r="B6" s="46" t="s">
        <v>73</v>
      </c>
      <c r="C6" s="48">
        <f>forecast!C24</f>
        <v>55936.677469530565</v>
      </c>
    </row>
    <row r="7" spans="2:3" x14ac:dyDescent="0.2">
      <c r="B7" s="46" t="s">
        <v>74</v>
      </c>
      <c r="C7" s="47">
        <f>'Historical Financial Data'!H26</f>
        <v>95.92</v>
      </c>
    </row>
    <row r="8" spans="2:3" x14ac:dyDescent="0.2">
      <c r="B8" s="46" t="s">
        <v>75</v>
      </c>
      <c r="C8" s="48">
        <f>forecast!C26</f>
        <v>583.15969004931776</v>
      </c>
    </row>
    <row r="9" spans="2:3" x14ac:dyDescent="0.2">
      <c r="B9" s="46" t="s">
        <v>76</v>
      </c>
      <c r="C9" s="47">
        <v>2444</v>
      </c>
    </row>
    <row r="10" spans="2:3" x14ac:dyDescent="0.2">
      <c r="B10" s="46" t="s">
        <v>77</v>
      </c>
      <c r="C10" s="49">
        <f>(C8/C9)-1</f>
        <v>-0.76139128885052465</v>
      </c>
    </row>
    <row r="11" spans="2:3" x14ac:dyDescent="0.2">
      <c r="B11" s="46" t="s">
        <v>80</v>
      </c>
      <c r="C11" s="5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Historical Financial Data</vt:lpstr>
      <vt:lpstr>Assumptions</vt:lpstr>
      <vt:lpstr>WACC</vt:lpstr>
      <vt:lpstr>forecast</vt:lpstr>
      <vt:lpstr>Sensitivity Analysis</vt:lpstr>
      <vt:lpstr>DCF 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atharvpathare15@outlook.com</cp:lastModifiedBy>
  <cp:revision>0</cp:revision>
  <dcterms:created xsi:type="dcterms:W3CDTF">2026-09-26T06:12:27Z</dcterms:created>
  <dcterms:modified xsi:type="dcterms:W3CDTF">2026-09-27T11:54:27Z</dcterms:modified>
  <dc:language>en-US</dc:language>
</cp:coreProperties>
</file>